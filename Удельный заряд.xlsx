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8528" windowHeight="7248"/>
  </bookViews>
  <sheets>
    <sheet name="Лист3" sheetId="3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3" l="1"/>
  <c r="B15" i="3" s="1"/>
  <c r="B12" i="3"/>
  <c r="D3" i="3"/>
  <c r="D4" i="3"/>
  <c r="D5" i="3"/>
  <c r="D6" i="3"/>
  <c r="D7" i="3"/>
  <c r="D2" i="3"/>
  <c r="B11" i="3"/>
  <c r="B10" i="3"/>
  <c r="B9" i="3"/>
  <c r="F2" i="3"/>
</calcChain>
</file>

<file path=xl/sharedStrings.xml><?xml version="1.0" encoding="utf-8"?>
<sst xmlns="http://schemas.openxmlformats.org/spreadsheetml/2006/main" count="18" uniqueCount="17">
  <si>
    <t>k</t>
  </si>
  <si>
    <t>e/m</t>
  </si>
  <si>
    <t>deltaU</t>
  </si>
  <si>
    <t>delta I</t>
  </si>
  <si>
    <t>epsilon(e/m)</t>
  </si>
  <si>
    <t>delta(e/m)</t>
  </si>
  <si>
    <t>приборная</t>
  </si>
  <si>
    <t>случайная</t>
  </si>
  <si>
    <t>полная</t>
  </si>
  <si>
    <t>теория</t>
  </si>
  <si>
    <t>эксперимент</t>
  </si>
  <si>
    <t>e, Кл</t>
  </si>
  <si>
    <t>m, кг</t>
  </si>
  <si>
    <t>U, В</t>
  </si>
  <si>
    <t>I, А</t>
  </si>
  <si>
    <t>L, м</t>
  </si>
  <si>
    <t>n, 1/м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</si>
</sst>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2D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3" borderId="0" xfId="0" applyFill="1" applyAlignment="1">
      <alignment horizontal="center"/>
    </xf>
    <xf numFmtId="0" fontId="0" fillId="6" borderId="0" xfId="0" applyFill="1"/>
    <xf numFmtId="49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zoomScale="160" zoomScaleNormal="160" workbookViewId="0">
      <selection activeCell="E16" sqref="E16"/>
    </sheetView>
  </sheetViews>
  <sheetFormatPr defaultRowHeight="14.4" x14ac:dyDescent="0.3"/>
  <cols>
    <col min="1" max="1" width="11.88671875" customWidth="1"/>
    <col min="2" max="2" width="10.44140625" customWidth="1"/>
    <col min="3" max="3" width="13.77734375" customWidth="1"/>
    <col min="4" max="4" width="16.44140625" customWidth="1"/>
    <col min="5" max="5" width="12" customWidth="1"/>
  </cols>
  <sheetData>
    <row r="1" spans="1:8" x14ac:dyDescent="0.3">
      <c r="A1" s="1" t="s">
        <v>13</v>
      </c>
      <c r="B1" s="1" t="s">
        <v>0</v>
      </c>
      <c r="C1" s="1" t="s">
        <v>14</v>
      </c>
      <c r="D1" s="1" t="s">
        <v>1</v>
      </c>
      <c r="E1" s="1" t="s">
        <v>15</v>
      </c>
      <c r="F1" s="1" t="s">
        <v>16</v>
      </c>
      <c r="G1" s="6" t="s">
        <v>2</v>
      </c>
      <c r="H1" s="6" t="s">
        <v>3</v>
      </c>
    </row>
    <row r="2" spans="1:8" x14ac:dyDescent="0.3">
      <c r="A2">
        <v>610</v>
      </c>
      <c r="B2">
        <v>1</v>
      </c>
      <c r="C2">
        <v>0.79</v>
      </c>
      <c r="D2">
        <f>((B2^2)*A2*100000000000000)/(2*(E$2*F$2*C2)^2)</f>
        <v>175298343296.62445</v>
      </c>
      <c r="E2">
        <v>0.16</v>
      </c>
      <c r="F2">
        <f>3300</f>
        <v>3300</v>
      </c>
      <c r="G2">
        <v>10</v>
      </c>
      <c r="H2">
        <v>0.03</v>
      </c>
    </row>
    <row r="3" spans="1:8" x14ac:dyDescent="0.3">
      <c r="A3">
        <v>610</v>
      </c>
      <c r="B3">
        <v>2</v>
      </c>
      <c r="C3">
        <v>1.67</v>
      </c>
      <c r="D3" s="4">
        <f t="shared" ref="D3:D7" si="0">((B3^2)*A3*100000000000000)/(2*(E$2*F$2*C3)^2)</f>
        <v>156913042491.91199</v>
      </c>
    </row>
    <row r="4" spans="1:8" x14ac:dyDescent="0.3">
      <c r="A4">
        <v>700</v>
      </c>
      <c r="B4">
        <v>1</v>
      </c>
      <c r="C4">
        <v>0.85</v>
      </c>
      <c r="D4">
        <f t="shared" si="0"/>
        <v>173765017269.26389</v>
      </c>
    </row>
    <row r="5" spans="1:8" x14ac:dyDescent="0.3">
      <c r="A5">
        <v>700</v>
      </c>
      <c r="B5">
        <v>2</v>
      </c>
      <c r="C5">
        <v>1.8</v>
      </c>
      <c r="D5" s="4">
        <f t="shared" si="0"/>
        <v>154994104909.92984</v>
      </c>
    </row>
    <row r="6" spans="1:8" x14ac:dyDescent="0.3">
      <c r="A6">
        <v>810</v>
      </c>
      <c r="B6">
        <v>1</v>
      </c>
      <c r="C6">
        <v>0.9</v>
      </c>
      <c r="D6">
        <f t="shared" si="0"/>
        <v>179350321395.77597</v>
      </c>
    </row>
    <row r="7" spans="1:8" x14ac:dyDescent="0.3">
      <c r="A7">
        <v>810</v>
      </c>
      <c r="B7">
        <v>2</v>
      </c>
      <c r="C7">
        <v>1.92</v>
      </c>
      <c r="D7" s="4">
        <f t="shared" si="0"/>
        <v>157632118414.2562</v>
      </c>
    </row>
    <row r="8" spans="1:8" x14ac:dyDescent="0.3">
      <c r="D8" s="2">
        <v>166325491296.29373</v>
      </c>
      <c r="E8" s="10" t="s">
        <v>10</v>
      </c>
    </row>
    <row r="9" spans="1:8" x14ac:dyDescent="0.3">
      <c r="A9" t="s">
        <v>11</v>
      </c>
      <c r="B9">
        <f>1.6E-19</f>
        <v>1.5999999999999999E-19</v>
      </c>
    </row>
    <row r="10" spans="1:8" x14ac:dyDescent="0.3">
      <c r="A10" t="s">
        <v>12</v>
      </c>
      <c r="B10">
        <f>9.1E-31</f>
        <v>9.1000000000000001E-31</v>
      </c>
    </row>
    <row r="11" spans="1:8" x14ac:dyDescent="0.3">
      <c r="A11" t="s">
        <v>1</v>
      </c>
      <c r="B11" s="5">
        <f>B9/B10</f>
        <v>175824175824.17581</v>
      </c>
      <c r="C11" s="9" t="s">
        <v>9</v>
      </c>
    </row>
    <row r="12" spans="1:8" x14ac:dyDescent="0.3">
      <c r="A12" s="3" t="s">
        <v>4</v>
      </c>
      <c r="B12">
        <f>(G2/A2)+2*(H2/C2)</f>
        <v>9.2342809711558407E-2</v>
      </c>
    </row>
    <row r="13" spans="1:8" x14ac:dyDescent="0.3">
      <c r="A13" s="7" t="s">
        <v>5</v>
      </c>
      <c r="B13">
        <f>D8*B12</f>
        <v>15358963192.955116</v>
      </c>
      <c r="C13" s="8" t="s">
        <v>6</v>
      </c>
    </row>
    <row r="14" spans="1:8" x14ac:dyDescent="0.3">
      <c r="B14">
        <v>11474928270.580446</v>
      </c>
      <c r="C14" s="9" t="s">
        <v>7</v>
      </c>
    </row>
    <row r="15" spans="1:8" x14ac:dyDescent="0.3">
      <c r="B15">
        <f>SQRT((B14^2)+(B13^2))</f>
        <v>19172160263.713539</v>
      </c>
      <c r="C15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ПК</cp:lastModifiedBy>
  <dcterms:created xsi:type="dcterms:W3CDTF">2015-06-05T18:19:34Z</dcterms:created>
  <dcterms:modified xsi:type="dcterms:W3CDTF">2026-03-31T10:30:24Z</dcterms:modified>
</cp:coreProperties>
</file>